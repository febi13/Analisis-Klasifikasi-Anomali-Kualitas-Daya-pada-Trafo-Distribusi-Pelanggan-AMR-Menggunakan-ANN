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estu\Downloads\"/>
    </mc:Choice>
  </mc:AlternateContent>
  <xr:revisionPtr revIDLastSave="0" documentId="13_ncr:1_{B0646209-7C05-41F1-B271-B61ADFFC7256}" xr6:coauthVersionLast="47" xr6:coauthVersionMax="47" xr10:uidLastSave="{00000000-0000-0000-0000-000000000000}"/>
  <bookViews>
    <workbookView xWindow="-110" yWindow="-110" windowWidth="19420" windowHeight="11020" tabRatio="500" activeTab="1" xr2:uid="{00000000-000D-0000-FFFF-FFFF00000000}"/>
  </bookViews>
  <sheets>
    <sheet name="Tabel_Validasi" sheetId="1" r:id="rId1"/>
    <sheet name="Verifikasi_Formul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2" l="1"/>
  <c r="C13" i="2"/>
  <c r="C12" i="2"/>
  <c r="C14" i="2" s="1"/>
  <c r="C16" i="2" s="1"/>
  <c r="B8" i="2"/>
  <c r="D7" i="2"/>
  <c r="D8" i="2" s="1"/>
  <c r="C15" i="2" s="1"/>
  <c r="D6" i="2"/>
  <c r="E6" i="2" l="1"/>
  <c r="E7" i="2"/>
  <c r="E8" i="2" l="1"/>
  <c r="C17" i="2" s="1"/>
  <c r="C18" i="2" s="1"/>
</calcChain>
</file>

<file path=xl/sharedStrings.xml><?xml version="1.0" encoding="utf-8"?>
<sst xmlns="http://schemas.openxmlformats.org/spreadsheetml/2006/main" count="82" uniqueCount="73">
  <si>
    <t>VALIDASI KOMPLEMENTER: PELABELAN MULTI-STANDAR vs RECORD STATUS METER EDMI</t>
  </si>
  <si>
    <t>Sumber: Hasil analisis Tahap 9, dataset 2.150 record pelanggan industri 197 kVA</t>
  </si>
  <si>
    <t>Tabel 4.X. Cross-Tabulation</t>
  </si>
  <si>
    <t>Meter: Anomali</t>
  </si>
  <si>
    <t>Meter: Normal</t>
  </si>
  <si>
    <t>Total</t>
  </si>
  <si>
    <t>Pelabelan: Anomali</t>
  </si>
  <si>
    <t>Pelabelan: Normal</t>
  </si>
  <si>
    <t>Tabel 4.X+1. Statistik Validasi Komplementer</t>
  </si>
  <si>
    <t>Metrik</t>
  </si>
  <si>
    <t>Nilai</t>
  </si>
  <si>
    <t>Interpretasi</t>
  </si>
  <si>
    <t>Agreement Rate</t>
  </si>
  <si>
    <t>Setuju 878 dari 2.150 record</t>
  </si>
  <si>
    <t>Cohen's Kappa</t>
  </si>
  <si>
    <t>Slight agreement (Landis &amp; Koch, 1977)</t>
  </si>
  <si>
    <t>Catatan:</t>
  </si>
  <si>
    <t>Agreement rate yang rendah TIDAK menunjukkan ketidakvalidan pelabelan. Kedua skema mengukur dimensi berbeda:</t>
  </si>
  <si>
    <t>- Pelabelan multi-standar: pelanggaran ambang kualitas daya (analitis dari V, I, PF)</t>
  </si>
  <si>
    <t>- Record Status meter: event operasional diskrit (power interruption, alarm, warning)</t>
  </si>
  <si>
    <t>VERIFIKASI PERHITUNGAN COHEN'S KAPPA DENGAN FORMULA</t>
  </si>
  <si>
    <t>Sheet ini menunjukkan perhitungan dapat direplikasi via formula Excel</t>
  </si>
  <si>
    <t>Input: Cross-Tabulation (hasil COUNTIFS dari data lengkap)</t>
  </si>
  <si>
    <t>Total Baris</t>
  </si>
  <si>
    <t>P_e (chance)</t>
  </si>
  <si>
    <t>Total Kolom</t>
  </si>
  <si>
    <t>Perhitungan Agreement Rate dan Cohen's Kappa</t>
  </si>
  <si>
    <t>Komponen</t>
  </si>
  <si>
    <t>Formula</t>
  </si>
  <si>
    <t>Keterangan</t>
  </si>
  <si>
    <t>Setuju Anomali-Anomali (n11)</t>
  </si>
  <si>
    <t>B6</t>
  </si>
  <si>
    <t>Pelabelan &amp; Meter sama-sama Anomali</t>
  </si>
  <si>
    <t>Setuju Normal-Normal (n22)</t>
  </si>
  <si>
    <t>C7</t>
  </si>
  <si>
    <t>Pelabelan &amp; Meter sama-sama Normal</t>
  </si>
  <si>
    <t>Total Setuju (n_o)</t>
  </si>
  <si>
    <t>B12+B13</t>
  </si>
  <si>
    <t>Jumlah agreement observasi</t>
  </si>
  <si>
    <t>Total Record (N)</t>
  </si>
  <si>
    <t>D8</t>
  </si>
  <si>
    <t>Total sampel</t>
  </si>
  <si>
    <t>Po (proporsi setuju observasi)</t>
  </si>
  <si>
    <t>n_o / N</t>
  </si>
  <si>
    <t>Pe (proporsi setuju by chance)</t>
  </si>
  <si>
    <t>(E6+E7) / N</t>
  </si>
  <si>
    <t>Ekspektasi agreement acak</t>
  </si>
  <si>
    <t>(Po - Pe)/(1 - Pe)</t>
  </si>
  <si>
    <t>Kappa statistic</t>
  </si>
  <si>
    <t>Interpretasi Kappa (Landis &amp; Koch, 1977):</t>
  </si>
  <si>
    <t>Range</t>
  </si>
  <si>
    <t>&lt; 0</t>
  </si>
  <si>
    <t>Disagreement</t>
  </si>
  <si>
    <t>0 - 0,20</t>
  </si>
  <si>
    <t>Slight (sangat lemah)</t>
  </si>
  <si>
    <t>0,21 - 0,40</t>
  </si>
  <si>
    <t>Fair (cukup)</t>
  </si>
  <si>
    <t>0,41 - 0,60</t>
  </si>
  <si>
    <t>Moderate (sedang)</t>
  </si>
  <si>
    <t>0,61 - 0,80</t>
  </si>
  <si>
    <t>Substantial (kuat)</t>
  </si>
  <si>
    <t>0,81 - 1,00</t>
  </si>
  <si>
    <t>Almost perfect (sangat kuat)</t>
  </si>
  <si>
    <t>Catatan: Cara mengisi sel input (B6, C6, B7, C7) dari data mentah:</t>
  </si>
  <si>
    <t>B6 (Pelabelan Anomali &amp; Meter Anomali):</t>
  </si>
  <si>
    <t>'=COUNTIFS(data!q:q,"&lt;&gt;Normal",data!r:r,"&lt;&gt;..........")</t>
  </si>
  <si>
    <t>C6 (Pelabelan Anomali &amp; Meter Normal):</t>
  </si>
  <si>
    <t>'=COUNTIFS(data!q:q,"&lt;&gt;Normal",data!r:r,"..........")</t>
  </si>
  <si>
    <t>B7 (Pelabelan Normal &amp; Meter Anomali):</t>
  </si>
  <si>
    <t>'=COUNTIFS(data!q:q,"Normal",data!r:r,"&lt;&gt;..........")</t>
  </si>
  <si>
    <t>C7 (Pelabelan Normal &amp; Meter Normal):</t>
  </si>
  <si>
    <t>'=COUNTIFS(data!q:q,"Normal",data!r:r,"..........")</t>
  </si>
  <si>
    <t>(Sesuaikan referensi Q dan R dengan lokasi kolom label_final dan record_status di file Anda)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</si>
</sst>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i/>
      <sz val="10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b/>
      <sz val="11"/>
      <color rgb="FF000000"/>
      <name val="Arial"/>
      <charset val="1"/>
    </font>
    <font>
      <sz val="11"/>
      <name val="Arial"/>
      <charset val="1"/>
    </font>
    <font>
      <b/>
      <i/>
      <sz val="10"/>
      <name val="Arial"/>
      <charset val="1"/>
    </font>
    <font>
      <i/>
      <sz val="10"/>
      <color rgb="FF666666"/>
      <name val="Arial"/>
      <charset val="1"/>
    </font>
    <font>
      <sz val="10"/>
      <name val="Consolas"/>
      <charset val="1"/>
    </font>
    <font>
      <i/>
      <sz val="10"/>
      <color rgb="FF888888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E699"/>
      </patternFill>
    </fill>
    <fill>
      <patternFill patternType="solid">
        <fgColor rgb="FFFFE699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0" fillId="0" borderId="0" xfId="0" applyFont="1"/>
    <xf numFmtId="0" fontId="9" fillId="0" borderId="0" xfId="0" applyFont="1"/>
    <xf numFmtId="0" fontId="7" fillId="0" borderId="0" xfId="0" applyFont="1"/>
    <xf numFmtId="0" fontId="6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/>
    <xf numFmtId="0" fontId="6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3" fontId="6" fillId="0" borderId="1" xfId="0" applyNumberFormat="1" applyFont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/>
    <xf numFmtId="4" fontId="6" fillId="0" borderId="1" xfId="0" applyNumberFormat="1" applyFont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zoomScaleNormal="100" workbookViewId="0">
      <selection activeCell="A6" sqref="A6:C7"/>
    </sheetView>
  </sheetViews>
  <sheetFormatPr defaultColWidth="8.6328125" defaultRowHeight="14.5" x14ac:dyDescent="0.35"/>
  <cols>
    <col min="1" max="1" width="28" customWidth="1"/>
    <col min="2" max="3" width="18" customWidth="1"/>
    <col min="4" max="4" width="36.26953125" customWidth="1"/>
  </cols>
  <sheetData>
    <row r="1" spans="1:4" ht="15" customHeight="1" x14ac:dyDescent="0.35">
      <c r="A1" s="12" t="s">
        <v>0</v>
      </c>
      <c r="B1" s="12"/>
      <c r="C1" s="12"/>
      <c r="D1" s="12"/>
    </row>
    <row r="2" spans="1:4" ht="15" customHeight="1" x14ac:dyDescent="0.35">
      <c r="A2" s="11" t="s">
        <v>1</v>
      </c>
      <c r="B2" s="11"/>
      <c r="C2" s="11"/>
      <c r="D2" s="11"/>
    </row>
    <row r="4" spans="1:4" ht="15" customHeight="1" x14ac:dyDescent="0.35">
      <c r="A4" s="10" t="s">
        <v>2</v>
      </c>
      <c r="B4" s="10"/>
      <c r="C4" s="10"/>
      <c r="D4" s="10"/>
    </row>
    <row r="5" spans="1:4" ht="15" customHeight="1" x14ac:dyDescent="0.35">
      <c r="A5" s="13"/>
      <c r="B5" s="13" t="s">
        <v>3</v>
      </c>
      <c r="C5" s="13" t="s">
        <v>4</v>
      </c>
      <c r="D5" s="13" t="s">
        <v>5</v>
      </c>
    </row>
    <row r="6" spans="1:4" ht="15" customHeight="1" x14ac:dyDescent="0.35">
      <c r="A6" s="14" t="s">
        <v>6</v>
      </c>
      <c r="B6" s="15">
        <v>31</v>
      </c>
      <c r="C6" s="15">
        <v>1265</v>
      </c>
      <c r="D6" s="16">
        <v>1296</v>
      </c>
    </row>
    <row r="7" spans="1:4" ht="15" customHeight="1" x14ac:dyDescent="0.35">
      <c r="A7" s="14" t="s">
        <v>7</v>
      </c>
      <c r="B7" s="15">
        <v>7</v>
      </c>
      <c r="C7" s="15">
        <v>847</v>
      </c>
      <c r="D7" s="16">
        <v>854</v>
      </c>
    </row>
    <row r="8" spans="1:4" ht="15" customHeight="1" x14ac:dyDescent="0.35">
      <c r="A8" s="14" t="s">
        <v>5</v>
      </c>
      <c r="B8" s="16">
        <v>38</v>
      </c>
      <c r="C8" s="16">
        <v>2112</v>
      </c>
      <c r="D8" s="16">
        <v>2150</v>
      </c>
    </row>
    <row r="10" spans="1:4" ht="15" customHeight="1" x14ac:dyDescent="0.35">
      <c r="A10" s="10" t="s">
        <v>8</v>
      </c>
      <c r="B10" s="10"/>
      <c r="C10" s="10"/>
      <c r="D10" s="10"/>
    </row>
    <row r="11" spans="1:4" ht="15" customHeight="1" x14ac:dyDescent="0.35">
      <c r="A11" s="13" t="s">
        <v>9</v>
      </c>
      <c r="B11" s="13" t="s">
        <v>10</v>
      </c>
      <c r="C11" s="9" t="s">
        <v>11</v>
      </c>
      <c r="D11" s="9"/>
    </row>
    <row r="12" spans="1:4" ht="15" customHeight="1" x14ac:dyDescent="0.35">
      <c r="A12" s="14" t="s">
        <v>12</v>
      </c>
      <c r="B12" s="17">
        <v>0.40839999999999999</v>
      </c>
      <c r="C12" s="8" t="s">
        <v>13</v>
      </c>
      <c r="D12" s="8"/>
    </row>
    <row r="13" spans="1:4" ht="15" customHeight="1" x14ac:dyDescent="0.35">
      <c r="A13" s="14" t="s">
        <v>14</v>
      </c>
      <c r="B13" s="18">
        <v>1.26E-2</v>
      </c>
      <c r="C13" s="8" t="s">
        <v>15</v>
      </c>
      <c r="D13" s="8"/>
    </row>
    <row r="15" spans="1:4" ht="15" customHeight="1" x14ac:dyDescent="0.35">
      <c r="A15" s="19" t="s">
        <v>16</v>
      </c>
    </row>
    <row r="16" spans="1:4" ht="15" customHeight="1" x14ac:dyDescent="0.35">
      <c r="A16" s="7" t="s">
        <v>17</v>
      </c>
      <c r="B16" s="7"/>
      <c r="C16" s="7"/>
      <c r="D16" s="7"/>
    </row>
    <row r="17" spans="1:4" ht="15" customHeight="1" x14ac:dyDescent="0.35">
      <c r="A17" s="7" t="s">
        <v>18</v>
      </c>
      <c r="B17" s="7"/>
      <c r="C17" s="7"/>
      <c r="D17" s="7"/>
    </row>
    <row r="18" spans="1:4" ht="15" customHeight="1" x14ac:dyDescent="0.35">
      <c r="A18" s="7" t="s">
        <v>19</v>
      </c>
      <c r="B18" s="7"/>
      <c r="C18" s="7"/>
      <c r="D18" s="7"/>
    </row>
  </sheetData>
  <mergeCells count="10">
    <mergeCell ref="C12:D12"/>
    <mergeCell ref="C13:D13"/>
    <mergeCell ref="A16:D16"/>
    <mergeCell ref="A17:D17"/>
    <mergeCell ref="A18:D18"/>
    <mergeCell ref="A1:D1"/>
    <mergeCell ref="A2:D2"/>
    <mergeCell ref="A4:D4"/>
    <mergeCell ref="A10:D10"/>
    <mergeCell ref="C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tabSelected="1" zoomScaleNormal="100" workbookViewId="0">
      <selection activeCell="C18" sqref="C18"/>
    </sheetView>
  </sheetViews>
  <sheetFormatPr defaultColWidth="8.6328125" defaultRowHeight="14.5" x14ac:dyDescent="0.35"/>
  <cols>
    <col min="1" max="1" width="36" customWidth="1"/>
    <col min="2" max="2" width="22" customWidth="1"/>
    <col min="3" max="3" width="14" customWidth="1"/>
    <col min="4" max="4" width="22" customWidth="1"/>
    <col min="5" max="5" width="20" customWidth="1"/>
  </cols>
  <sheetData>
    <row r="1" spans="1:5" ht="15" customHeight="1" x14ac:dyDescent="0.35">
      <c r="A1" s="12" t="s">
        <v>20</v>
      </c>
      <c r="B1" s="12"/>
      <c r="C1" s="12"/>
      <c r="D1" s="12"/>
      <c r="E1" s="12"/>
    </row>
    <row r="2" spans="1:5" ht="15" customHeight="1" x14ac:dyDescent="0.35">
      <c r="A2" s="11" t="s">
        <v>21</v>
      </c>
      <c r="B2" s="11"/>
      <c r="C2" s="11"/>
      <c r="D2" s="11"/>
      <c r="E2" s="11"/>
    </row>
    <row r="4" spans="1:5" ht="15" customHeight="1" x14ac:dyDescent="0.35">
      <c r="A4" s="10" t="s">
        <v>22</v>
      </c>
      <c r="B4" s="10"/>
      <c r="C4" s="10"/>
      <c r="D4" s="10"/>
      <c r="E4" s="10"/>
    </row>
    <row r="5" spans="1:5" ht="15" customHeight="1" x14ac:dyDescent="0.35">
      <c r="A5" s="13"/>
      <c r="B5" s="13" t="s">
        <v>3</v>
      </c>
      <c r="C5" s="13" t="s">
        <v>4</v>
      </c>
      <c r="D5" s="13" t="s">
        <v>23</v>
      </c>
      <c r="E5" s="13" t="s">
        <v>24</v>
      </c>
    </row>
    <row r="6" spans="1:5" ht="15" customHeight="1" x14ac:dyDescent="0.35">
      <c r="A6" s="14" t="s">
        <v>6</v>
      </c>
      <c r="B6" s="21">
        <v>31</v>
      </c>
      <c r="C6" s="21">
        <v>1265</v>
      </c>
      <c r="D6" s="21">
        <f>B6+C6</f>
        <v>1296</v>
      </c>
      <c r="E6" s="21">
        <f>(D6*B8)/D8</f>
        <v>22.906046511627906</v>
      </c>
    </row>
    <row r="7" spans="1:5" ht="15" customHeight="1" x14ac:dyDescent="0.35">
      <c r="A7" s="14" t="s">
        <v>7</v>
      </c>
      <c r="B7" s="21">
        <v>7</v>
      </c>
      <c r="C7" s="21">
        <v>847</v>
      </c>
      <c r="D7" s="21">
        <f>B7+C7</f>
        <v>854</v>
      </c>
      <c r="E7" s="21">
        <f>(D7*C8)/D8</f>
        <v>838.90604651162789</v>
      </c>
    </row>
    <row r="8" spans="1:5" ht="15" customHeight="1" x14ac:dyDescent="0.35">
      <c r="A8" s="14" t="s">
        <v>25</v>
      </c>
      <c r="B8" s="22">
        <f>B6+B7</f>
        <v>38</v>
      </c>
      <c r="C8" s="22">
        <f>C6+C7</f>
        <v>2112</v>
      </c>
      <c r="D8" s="22">
        <f>D6+D7</f>
        <v>2150</v>
      </c>
      <c r="E8" s="22">
        <f>E6+E7</f>
        <v>861.81209302325578</v>
      </c>
    </row>
    <row r="10" spans="1:5" ht="15" customHeight="1" x14ac:dyDescent="0.35">
      <c r="A10" s="10" t="s">
        <v>26</v>
      </c>
      <c r="B10" s="10"/>
      <c r="C10" s="10"/>
      <c r="D10" s="10"/>
      <c r="E10" s="10"/>
    </row>
    <row r="11" spans="1:5" ht="15" customHeight="1" x14ac:dyDescent="0.35">
      <c r="A11" s="13" t="s">
        <v>27</v>
      </c>
      <c r="B11" s="13" t="s">
        <v>28</v>
      </c>
      <c r="C11" s="13" t="s">
        <v>10</v>
      </c>
      <c r="D11" s="9" t="s">
        <v>29</v>
      </c>
      <c r="E11" s="9"/>
    </row>
    <row r="12" spans="1:5" ht="15" customHeight="1" x14ac:dyDescent="0.35">
      <c r="A12" s="14" t="s">
        <v>30</v>
      </c>
      <c r="B12" s="23" t="s">
        <v>31</v>
      </c>
      <c r="C12" s="15">
        <f>B6</f>
        <v>31</v>
      </c>
      <c r="D12" s="6" t="s">
        <v>32</v>
      </c>
      <c r="E12" s="6"/>
    </row>
    <row r="13" spans="1:5" ht="15" customHeight="1" x14ac:dyDescent="0.35">
      <c r="A13" s="14" t="s">
        <v>33</v>
      </c>
      <c r="B13" s="23" t="s">
        <v>34</v>
      </c>
      <c r="C13" s="15">
        <f>C7</f>
        <v>847</v>
      </c>
      <c r="D13" s="6" t="s">
        <v>35</v>
      </c>
      <c r="E13" s="6"/>
    </row>
    <row r="14" spans="1:5" ht="15" customHeight="1" x14ac:dyDescent="0.35">
      <c r="A14" s="14" t="s">
        <v>36</v>
      </c>
      <c r="B14" s="23" t="s">
        <v>37</v>
      </c>
      <c r="C14" s="15">
        <f>C12+C13</f>
        <v>878</v>
      </c>
      <c r="D14" s="6" t="s">
        <v>38</v>
      </c>
      <c r="E14" s="6"/>
    </row>
    <row r="15" spans="1:5" ht="15" customHeight="1" x14ac:dyDescent="0.35">
      <c r="A15" s="14" t="s">
        <v>39</v>
      </c>
      <c r="B15" s="23" t="s">
        <v>40</v>
      </c>
      <c r="C15" s="15">
        <f>D8</f>
        <v>2150</v>
      </c>
      <c r="D15" s="6" t="s">
        <v>41</v>
      </c>
      <c r="E15" s="6"/>
    </row>
    <row r="16" spans="1:5" ht="15" customHeight="1" x14ac:dyDescent="0.35">
      <c r="A16" s="14" t="s">
        <v>42</v>
      </c>
      <c r="B16" s="23" t="s">
        <v>43</v>
      </c>
      <c r="C16" s="18">
        <f>C14/C15</f>
        <v>0.40837209302325583</v>
      </c>
      <c r="D16" s="6" t="s">
        <v>12</v>
      </c>
      <c r="E16" s="6"/>
    </row>
    <row r="17" spans="1:5" ht="15" customHeight="1" x14ac:dyDescent="0.35">
      <c r="A17" s="14" t="s">
        <v>44</v>
      </c>
      <c r="B17" s="23" t="s">
        <v>45</v>
      </c>
      <c r="C17" s="18">
        <f>E8/D8</f>
        <v>0.40084283396430503</v>
      </c>
      <c r="D17" s="6" t="s">
        <v>46</v>
      </c>
      <c r="E17" s="6"/>
    </row>
    <row r="18" spans="1:5" ht="15" customHeight="1" x14ac:dyDescent="0.35">
      <c r="A18" s="24" t="s">
        <v>14</v>
      </c>
      <c r="B18" s="25" t="s">
        <v>47</v>
      </c>
      <c r="C18" s="26">
        <f>(C16-C17)/(1-C17)</f>
        <v>1.256641743729431E-2</v>
      </c>
      <c r="D18" s="5" t="s">
        <v>48</v>
      </c>
      <c r="E18" s="5"/>
    </row>
    <row r="20" spans="1:5" ht="15" customHeight="1" x14ac:dyDescent="0.35">
      <c r="A20" s="10" t="s">
        <v>49</v>
      </c>
      <c r="B20" s="10"/>
      <c r="C20" s="10"/>
      <c r="D20" s="10"/>
      <c r="E20" s="10"/>
    </row>
    <row r="21" spans="1:5" ht="15" customHeight="1" x14ac:dyDescent="0.35">
      <c r="A21" s="13" t="s">
        <v>50</v>
      </c>
      <c r="B21" s="9" t="s">
        <v>11</v>
      </c>
      <c r="C21" s="9"/>
      <c r="D21" s="9"/>
      <c r="E21" s="9"/>
    </row>
    <row r="22" spans="1:5" ht="15" customHeight="1" x14ac:dyDescent="0.35">
      <c r="A22" s="27" t="s">
        <v>51</v>
      </c>
      <c r="B22" s="8" t="s">
        <v>52</v>
      </c>
      <c r="C22" s="8"/>
      <c r="D22" s="8"/>
      <c r="E22" s="8"/>
    </row>
    <row r="23" spans="1:5" ht="15" customHeight="1" x14ac:dyDescent="0.35">
      <c r="A23" s="28" t="s">
        <v>53</v>
      </c>
      <c r="B23" s="4" t="s">
        <v>54</v>
      </c>
      <c r="C23" s="4"/>
      <c r="D23" s="4"/>
      <c r="E23" s="4"/>
    </row>
    <row r="24" spans="1:5" ht="15" customHeight="1" x14ac:dyDescent="0.35">
      <c r="A24" s="27" t="s">
        <v>55</v>
      </c>
      <c r="B24" s="8" t="s">
        <v>56</v>
      </c>
      <c r="C24" s="8"/>
      <c r="D24" s="8"/>
      <c r="E24" s="8"/>
    </row>
    <row r="25" spans="1:5" ht="15" customHeight="1" x14ac:dyDescent="0.35">
      <c r="A25" s="27" t="s">
        <v>57</v>
      </c>
      <c r="B25" s="8" t="s">
        <v>58</v>
      </c>
      <c r="C25" s="8"/>
      <c r="D25" s="8"/>
      <c r="E25" s="8"/>
    </row>
    <row r="26" spans="1:5" ht="15" customHeight="1" x14ac:dyDescent="0.35">
      <c r="A26" s="27" t="s">
        <v>59</v>
      </c>
      <c r="B26" s="8" t="s">
        <v>60</v>
      </c>
      <c r="C26" s="8"/>
      <c r="D26" s="8"/>
      <c r="E26" s="8"/>
    </row>
    <row r="27" spans="1:5" ht="15" customHeight="1" x14ac:dyDescent="0.35">
      <c r="A27" s="27" t="s">
        <v>61</v>
      </c>
      <c r="B27" s="8" t="s">
        <v>62</v>
      </c>
      <c r="C27" s="8"/>
      <c r="D27" s="8"/>
      <c r="E27" s="8"/>
    </row>
    <row r="29" spans="1:5" ht="15" customHeight="1" x14ac:dyDescent="0.35">
      <c r="A29" s="3" t="s">
        <v>63</v>
      </c>
      <c r="B29" s="3"/>
      <c r="C29" s="3"/>
      <c r="D29" s="3"/>
      <c r="E29" s="3"/>
    </row>
    <row r="30" spans="1:5" ht="15" customHeight="1" x14ac:dyDescent="0.35">
      <c r="A30" s="20" t="s">
        <v>64</v>
      </c>
      <c r="B30" s="2" t="s">
        <v>65</v>
      </c>
      <c r="C30" s="2"/>
      <c r="D30" s="2"/>
      <c r="E30" s="2"/>
    </row>
    <row r="31" spans="1:5" ht="15" customHeight="1" x14ac:dyDescent="0.35">
      <c r="A31" s="20" t="s">
        <v>66</v>
      </c>
      <c r="B31" s="2" t="s">
        <v>67</v>
      </c>
      <c r="C31" s="2"/>
      <c r="D31" s="2"/>
      <c r="E31" s="2"/>
    </row>
    <row r="32" spans="1:5" ht="15" customHeight="1" x14ac:dyDescent="0.35">
      <c r="A32" s="20" t="s">
        <v>68</v>
      </c>
      <c r="B32" s="2" t="s">
        <v>69</v>
      </c>
      <c r="C32" s="2"/>
      <c r="D32" s="2"/>
      <c r="E32" s="2"/>
    </row>
    <row r="33" spans="1:5" ht="15" customHeight="1" x14ac:dyDescent="0.35">
      <c r="A33" s="20" t="s">
        <v>70</v>
      </c>
      <c r="B33" s="2" t="s">
        <v>71</v>
      </c>
      <c r="C33" s="2"/>
      <c r="D33" s="2"/>
      <c r="E33" s="2"/>
    </row>
    <row r="35" spans="1:5" ht="15" customHeight="1" x14ac:dyDescent="0.35">
      <c r="A35" s="1" t="s">
        <v>72</v>
      </c>
      <c r="B35" s="1"/>
      <c r="C35" s="1"/>
      <c r="D35" s="1"/>
      <c r="E35" s="1"/>
    </row>
  </sheetData>
  <mergeCells count="26">
    <mergeCell ref="A35:E35"/>
    <mergeCell ref="A29:E29"/>
    <mergeCell ref="B30:E30"/>
    <mergeCell ref="B31:E31"/>
    <mergeCell ref="B32:E32"/>
    <mergeCell ref="B33:E33"/>
    <mergeCell ref="B23:E23"/>
    <mergeCell ref="B24:E24"/>
    <mergeCell ref="B25:E25"/>
    <mergeCell ref="B26:E26"/>
    <mergeCell ref="B27:E27"/>
    <mergeCell ref="D17:E17"/>
    <mergeCell ref="D18:E18"/>
    <mergeCell ref="A20:E20"/>
    <mergeCell ref="B21:E21"/>
    <mergeCell ref="B22:E22"/>
    <mergeCell ref="D12:E12"/>
    <mergeCell ref="D13:E13"/>
    <mergeCell ref="D14:E14"/>
    <mergeCell ref="D15:E15"/>
    <mergeCell ref="D16:E16"/>
    <mergeCell ref="A1:E1"/>
    <mergeCell ref="A2:E2"/>
    <mergeCell ref="A4:E4"/>
    <mergeCell ref="A10:E10"/>
    <mergeCell ref="D11:E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Tabel_Validasi</vt:lpstr>
      <vt:lpstr>Verifikasi_Formula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Restu Febriani</cp:lastModifiedBy>
  <cp:revision>0</cp:revision>
  <dcterms:created xsi:type="dcterms:W3CDTF">2026-06-06T13:01:16Z</dcterms:created>
  <dcterms:modified xsi:type="dcterms:W3CDTF">2026-06-06T13:09:48Z</dcterms:modified>
  <dc:language>en-US</dc:language>
</cp:coreProperties>
</file>